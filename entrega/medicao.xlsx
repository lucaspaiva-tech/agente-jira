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Baseline" sheetId="2" state="visible" r:id="rId4"/>
    <sheet name="Medicao" sheetId="3" state="visible" r:id="rId5"/>
    <sheet name="Custos" sheetId="4" state="visible" r:id="rId6"/>
    <sheet name="Resultado" sheetId="5" state="visible" r:id="rId7"/>
    <sheet name="Exempl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<sst xmlns="http://schemas.openxmlformats.org/spreadsheetml/2006/main" count="93" uniqueCount="89">
  <si>
    <t xml:space="preserve">Medição de impacto: Agente JIRA</t>
  </si>
  <si>
    <t xml:space="preserve">Como ler esta planilha</t>
  </si>
  <si>
    <t xml:space="preserve">Células amarelas com texto azul</t>
  </si>
  <si>
    <t xml:space="preserve">são as que você preenche. Todo o resto é fórmula: não digite por cima.</t>
  </si>
  <si>
    <t xml:space="preserve">A conta</t>
  </si>
  <si>
    <t xml:space="preserve">Resultado = (A) horas poupadas x R$100 + (B) receita gerada - (C) custo da solução. Vale o que foi realizado e validado até 30 dias após a entrega. Impacto potencial não entra.</t>
  </si>
  <si>
    <t xml:space="preserve">A ordem que não dá pra inverter</t>
  </si>
  <si>
    <t xml:space="preserve">1</t>
  </si>
  <si>
    <t xml:space="preserve">Aba Baseline: escreva quanto tempo o processo leva HOJE, antes de mexer em qualquer coisa.</t>
  </si>
  <si>
    <t xml:space="preserve">2</t>
  </si>
  <si>
    <t xml:space="preserve">Mostre pro gestor e peça a confirmação POR ESCRITO (mensagem no Slack serve). Preencha na Baseline quem confirmou, quando e onde está a mensagem. Sem isso o (A) não é aceito.</t>
  </si>
  <si>
    <t xml:space="preserve">3</t>
  </si>
  <si>
    <t xml:space="preserve">Construa e entre no ar.</t>
  </si>
  <si>
    <t xml:space="preserve">4</t>
  </si>
  <si>
    <t xml:space="preserve">Aba Medicao: meça de novo ao entrar no ar (1ª medição) e 30 dias depois (2ª medição).</t>
  </si>
  <si>
    <t xml:space="preserve">5</t>
  </si>
  <si>
    <t xml:space="preserve">Aba Custos: anote o gasto do período, com a fonte de cada valor.</t>
  </si>
  <si>
    <t xml:space="preserve">6</t>
  </si>
  <si>
    <t xml:space="preserve">Aba Resultado: a conta fecha sozinha.</t>
  </si>
  <si>
    <t xml:space="preserve">Onde achar os números no banco (Supabase, SQL Editor)</t>
  </si>
  <si>
    <t xml:space="preserve">Tickets no período</t>
  </si>
  <si>
    <t xml:space="preserve">select count(*) from tickets where origem = 'motor' and recebido_em &gt;= '2026-10-14' and recebido_em &lt; '2026-11-15';   (ajuste as datas do período medido)</t>
  </si>
  <si>
    <t xml:space="preserve">Uso humano do app</t>
  </si>
  <si>
    <t xml:space="preserve">select * from v_uso_diario order by dia;   (ações, pessoas e tickets tratados por dia)</t>
  </si>
  <si>
    <t xml:space="preserve">Tickets decididos sozinhos pela IA</t>
  </si>
  <si>
    <t xml:space="preserve">select status_ia, count(*) from tickets where origem = 'motor' and recebido_em &gt;= '2026-10-14' and recebido_em &lt; '2026-11-15' group by 1;</t>
  </si>
  <si>
    <t xml:space="preserve">Minutos por ticket (depois)</t>
  </si>
  <si>
    <t xml:space="preserve">Meça de verdade: cronometre uma amostra de tickets tratados na página e use a média, contando zero minuto para os que a IA decidiu sozinha. Anote o tamanho da amostra na coluna de fonte.</t>
  </si>
  <si>
    <t xml:space="preserve">Aba Exemplo</t>
  </si>
  <si>
    <t xml:space="preserve">Números INVENTADOS, só pra mostrar o formato da conta. Troque pelos seus nas outras abas.</t>
  </si>
  <si>
    <t xml:space="preserve">Baseline: o processo ANTES (confirmar com o gestor por escrito)</t>
  </si>
  <si>
    <t xml:space="preserve">Processo</t>
  </si>
  <si>
    <t xml:space="preserve">Quem faz</t>
  </si>
  <si>
    <t xml:space="preserve">Tickets por semana (antes)</t>
  </si>
  <si>
    <t xml:space="preserve">Minutos por ticket (antes)</t>
  </si>
  <si>
    <t xml:space="preserve">Como o número foi medido (fonte)</t>
  </si>
  <si>
    <t xml:space="preserve">Gestor que confirmou</t>
  </si>
  <si>
    <t xml:space="preserve">Data da confirmação</t>
  </si>
  <si>
    <t xml:space="preserve">Onde está a confirmação por escrito</t>
  </si>
  <si>
    <t xml:space="preserve">Horas por semana (antes)</t>
  </si>
  <si>
    <t xml:space="preserve">Confirmação por escrito registrada?</t>
  </si>
  <si>
    <t xml:space="preserve">Exemplo de preenchimento (não é dado real):</t>
  </si>
  <si>
    <t xml:space="preserve">Processo: tratar ticket de ressarcimento nas planilhas | Quem faz: analista do Marketplace | Tickets por semana: 12 | Minutos por ticket: 18 | Fonte: cronometrei 10 tickets em 09/10 | Gestor: nome | Data: 09/10/2026 | Confirmação: link da mensagem no Slack</t>
  </si>
  <si>
    <t xml:space="preserve">Medição: o processo DEPOIS (períodos sem sobreposição)</t>
  </si>
  <si>
    <t xml:space="preserve">Medição</t>
  </si>
  <si>
    <t xml:space="preserve">Início</t>
  </si>
  <si>
    <t xml:space="preserve">Fim</t>
  </si>
  <si>
    <t xml:space="preserve">Horas antes</t>
  </si>
  <si>
    <t xml:space="preserve">Horas depois</t>
  </si>
  <si>
    <t xml:space="preserve">Horas poupadas</t>
  </si>
  <si>
    <t xml:space="preserve">Fonte e premissas</t>
  </si>
  <si>
    <t xml:space="preserve">1ª medição (ao entrar no ar)</t>
  </si>
  <si>
    <t xml:space="preserve">2ª medição (30 dias depois)</t>
  </si>
  <si>
    <t xml:space="preserve">Período extra 1</t>
  </si>
  <si>
    <t xml:space="preserve">Período extra 2</t>
  </si>
  <si>
    <t xml:space="preserve">Total</t>
  </si>
  <si>
    <t xml:space="preserve">Horas antes = tickets do período x minutos por ticket da Baseline. Horas depois = tickets do período x minutos medidos agora. Horas poupadas = antes - depois.</t>
  </si>
  <si>
    <t xml:space="preserve">Custos: (C) o que a solução gastou no período</t>
  </si>
  <si>
    <t xml:space="preserve">Item</t>
  </si>
  <si>
    <t xml:space="preserve">Valor no período (R$)</t>
  </si>
  <si>
    <t xml:space="preserve">Fonte</t>
  </si>
  <si>
    <t xml:space="preserve">Supabase (plano)</t>
  </si>
  <si>
    <t xml:space="preserve">Databricks: SQL Warehouse</t>
  </si>
  <si>
    <t xml:space="preserve">Databricks: tokens do modelo (Gemini)</t>
  </si>
  <si>
    <t xml:space="preserve">n8n (custo adicional, se houver)</t>
  </si>
  <si>
    <t xml:space="preserve">Hospedagem (Buser Hub)</t>
  </si>
  <si>
    <t xml:space="preserve">Outros</t>
  </si>
  <si>
    <t xml:space="preserve">Total (C)</t>
  </si>
  <si>
    <t xml:space="preserve">Na dúvida se um custo entra, declare e explique a premissa na coluna Fonte. Conta sem (C) não fecha. Deixe em branco só o que de fato foi zero.</t>
  </si>
  <si>
    <t xml:space="preserve">Resultado do desafio</t>
  </si>
  <si>
    <t xml:space="preserve">Valor da hora (R$), definido no regulamento</t>
  </si>
  <si>
    <t xml:space="preserve">Horas poupadas (total das medições)</t>
  </si>
  <si>
    <t xml:space="preserve">(A) Redução de custo (R$)</t>
  </si>
  <si>
    <t xml:space="preserve">(B) Receita gerada (R$), opcional</t>
  </si>
  <si>
    <t xml:space="preserve">(C) Custo da solução (R$)</t>
  </si>
  <si>
    <t xml:space="preserve">Resultado = A + B - C (R$)</t>
  </si>
  <si>
    <t xml:space="preserve">Baseline confirmada pelo gestor?</t>
  </si>
  <si>
    <t xml:space="preserve">Só entra o que foi realizado e validado até 30 dias após a entrega. Impacto potencial não entra.</t>
  </si>
  <si>
    <t xml:space="preserve">Exemplo da conta: NÚMEROS INVENTADOS, só pra mostrar o formato</t>
  </si>
  <si>
    <t xml:space="preserve">Antes</t>
  </si>
  <si>
    <t xml:space="preserve">Depois</t>
  </si>
  <si>
    <t xml:space="preserve">Minutos por vez</t>
  </si>
  <si>
    <t xml:space="preserve">Vezes por semana</t>
  </si>
  <si>
    <t xml:space="preserve">Horas por semana</t>
  </si>
  <si>
    <t xml:space="preserve">Horas poupadas por semana</t>
  </si>
  <si>
    <t xml:space="preserve">Semanas medidas</t>
  </si>
  <si>
    <t xml:space="preserve">Horas poupadas no período</t>
  </si>
  <si>
    <t xml:space="preserve">Valor da hora (R$)</t>
  </si>
  <si>
    <t xml:space="preserve">Resultado (R$)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</si>
</sst>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dd/mm/yyyy"/>
    <numFmt numFmtId="168" formatCode="0.00;\(0.00\);\-"/>
    <numFmt numFmtId="169" formatCode="&quot;R$ &quot;#,##0.00;&quot;(R$ &quot;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006A"/>
        <bgColor rgb="FFFF00FF"/>
      </patternFill>
    </fill>
    <fill>
      <patternFill patternType="solid">
        <fgColor rgb="FFF3F3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6006A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8.35" hidden="false" customHeight="false" outlineLevel="0" collapsed="false">
      <c r="A5" s="2" t="s">
        <v>4</v>
      </c>
      <c r="B5" s="4" t="s">
        <v>5</v>
      </c>
    </row>
    <row r="6" customFormat="false" ht="15" hidden="false" customHeight="false" outlineLevel="0" collapsed="false">
      <c r="A6" s="2" t="s">
        <v>6</v>
      </c>
    </row>
    <row r="7" customFormat="false" ht="15" hidden="false" customHeight="false" outlineLevel="0" collapsed="false">
      <c r="A7" s="2" t="s">
        <v>7</v>
      </c>
      <c r="B7" s="4" t="s">
        <v>8</v>
      </c>
    </row>
    <row r="8" customFormat="false" ht="28.35" hidden="false" customHeight="false" outlineLevel="0" collapsed="false">
      <c r="A8" s="2" t="s">
        <v>9</v>
      </c>
      <c r="B8" s="4" t="s">
        <v>10</v>
      </c>
    </row>
    <row r="9" customFormat="false" ht="15" hidden="false" customHeight="false" outlineLevel="0" collapsed="false">
      <c r="A9" s="2" t="s">
        <v>11</v>
      </c>
      <c r="B9" s="4" t="s">
        <v>12</v>
      </c>
    </row>
    <row r="10" customFormat="false" ht="15" hidden="false" customHeight="false" outlineLevel="0" collapsed="false">
      <c r="A10" s="2" t="s">
        <v>13</v>
      </c>
      <c r="B10" s="4" t="s">
        <v>14</v>
      </c>
    </row>
    <row r="11" customFormat="false" ht="15" hidden="false" customHeight="false" outlineLevel="0" collapsed="false">
      <c r="A11" s="2" t="s">
        <v>15</v>
      </c>
      <c r="B11" s="4" t="s">
        <v>16</v>
      </c>
    </row>
    <row r="12" customFormat="false" ht="15" hidden="false" customHeight="false" outlineLevel="0" collapsed="false">
      <c r="A12" s="2" t="s">
        <v>17</v>
      </c>
      <c r="B12" s="4" t="s">
        <v>18</v>
      </c>
    </row>
    <row r="13" customFormat="false" ht="23.85" hidden="false" customHeight="false" outlineLevel="0" collapsed="false">
      <c r="A13" s="2" t="s">
        <v>19</v>
      </c>
    </row>
    <row r="14" customFormat="false" ht="28.35" hidden="false" customHeight="false" outlineLevel="0" collapsed="false">
      <c r="A14" s="2" t="s">
        <v>20</v>
      </c>
      <c r="B14" s="4" t="s">
        <v>21</v>
      </c>
    </row>
    <row r="15" customFormat="false" ht="15" hidden="false" customHeight="false" outlineLevel="0" collapsed="false">
      <c r="A15" s="2" t="s">
        <v>22</v>
      </c>
      <c r="B15" s="4" t="s">
        <v>23</v>
      </c>
    </row>
    <row r="16" customFormat="false" ht="28.35" hidden="false" customHeight="false" outlineLevel="0" collapsed="false">
      <c r="A16" s="2" t="s">
        <v>24</v>
      </c>
      <c r="B16" s="4" t="s">
        <v>25</v>
      </c>
    </row>
    <row r="17" customFormat="false" ht="28.35" hidden="false" customHeight="false" outlineLevel="0" collapsed="false">
      <c r="A17" s="2" t="s">
        <v>26</v>
      </c>
      <c r="B17" s="4" t="s">
        <v>27</v>
      </c>
    </row>
    <row r="18" customFormat="false" ht="15" hidden="false" customHeight="false" outlineLevel="0" collapsed="false">
      <c r="A18" s="2" t="s">
        <v>28</v>
      </c>
      <c r="B18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30</v>
      </c>
    </row>
    <row r="3" customFormat="false" ht="15" hidden="false" customHeight="false" outlineLevel="0" collapsed="false">
      <c r="A3" s="5" t="s">
        <v>31</v>
      </c>
      <c r="B3" s="6"/>
    </row>
    <row r="4" customFormat="false" ht="15" hidden="false" customHeight="false" outlineLevel="0" collapsed="false">
      <c r="A4" s="5" t="s">
        <v>32</v>
      </c>
      <c r="B4" s="6"/>
    </row>
    <row r="5" customFormat="false" ht="15" hidden="false" customHeight="false" outlineLevel="0" collapsed="false">
      <c r="A5" s="5" t="s">
        <v>33</v>
      </c>
      <c r="B5" s="7"/>
    </row>
    <row r="6" customFormat="false" ht="15" hidden="false" customHeight="false" outlineLevel="0" collapsed="false">
      <c r="A6" s="5" t="s">
        <v>34</v>
      </c>
      <c r="B6" s="8"/>
    </row>
    <row r="7" customFormat="false" ht="15" hidden="false" customHeight="false" outlineLevel="0" collapsed="false">
      <c r="A7" s="5" t="s">
        <v>35</v>
      </c>
      <c r="B7" s="6"/>
    </row>
    <row r="8" customFormat="false" ht="15" hidden="false" customHeight="false" outlineLevel="0" collapsed="false">
      <c r="A8" s="5" t="s">
        <v>36</v>
      </c>
      <c r="B8" s="6"/>
    </row>
    <row r="9" customFormat="false" ht="15" hidden="false" customHeight="false" outlineLevel="0" collapsed="false">
      <c r="A9" s="5" t="s">
        <v>37</v>
      </c>
      <c r="B9" s="9"/>
    </row>
    <row r="10" customFormat="false" ht="15" hidden="false" customHeight="false" outlineLevel="0" collapsed="false">
      <c r="A10" s="5" t="s">
        <v>38</v>
      </c>
      <c r="B10" s="6"/>
    </row>
    <row r="12" customFormat="false" ht="15" hidden="false" customHeight="false" outlineLevel="0" collapsed="false">
      <c r="A12" s="5" t="s">
        <v>39</v>
      </c>
      <c r="B12" s="10" t="str">
        <f aca="false">IF(OR(B5="",B6=""),"",B5*B6/60)</f>
        <v/>
      </c>
    </row>
    <row r="13" customFormat="false" ht="15" hidden="false" customHeight="false" outlineLevel="0" collapsed="false">
      <c r="A13" s="5" t="s">
        <v>40</v>
      </c>
      <c r="B13" s="11" t="str">
        <f aca="false">IF(AND(B8&lt;&gt;"",B9&lt;&gt;"",B10&lt;&gt;""),"Sim","NÃO: sem isso o (A) não é aceito")</f>
        <v>NÃO: sem isso o (A) não é aceito</v>
      </c>
    </row>
    <row r="15" customFormat="false" ht="15" hidden="false" customHeight="false" outlineLevel="0" collapsed="false">
      <c r="A15" s="5" t="s">
        <v>41</v>
      </c>
    </row>
    <row r="16" customFormat="false" ht="48" hidden="false" customHeight="true" outlineLevel="0" collapsed="false">
      <c r="A16" s="12" t="s">
        <v>42</v>
      </c>
      <c r="B16" s="12"/>
    </row>
  </sheetData>
  <mergeCells count="1"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43</v>
      </c>
    </row>
    <row r="3" customFormat="false" ht="31.5" hidden="false" customHeight="true" outlineLevel="0" collapsed="false">
      <c r="A3" s="13" t="s">
        <v>44</v>
      </c>
      <c r="B3" s="13" t="s">
        <v>45</v>
      </c>
      <c r="C3" s="13" t="s">
        <v>46</v>
      </c>
      <c r="D3" s="13" t="s">
        <v>20</v>
      </c>
      <c r="E3" s="13" t="s">
        <v>26</v>
      </c>
      <c r="F3" s="13" t="s">
        <v>47</v>
      </c>
      <c r="G3" s="13" t="s">
        <v>48</v>
      </c>
      <c r="H3" s="13" t="s">
        <v>49</v>
      </c>
      <c r="I3" s="13" t="s">
        <v>50</v>
      </c>
    </row>
    <row r="4" customFormat="false" ht="15" hidden="false" customHeight="false" outlineLevel="0" collapsed="false">
      <c r="A4" s="5" t="s">
        <v>51</v>
      </c>
      <c r="B4" s="9"/>
      <c r="C4" s="9"/>
      <c r="D4" s="7"/>
      <c r="E4" s="8"/>
      <c r="F4" s="10" t="n">
        <f aca="false">IF(OR(D4="",Baseline!$B$6=""),0,D4*Baseline!$B$6/60)</f>
        <v>0</v>
      </c>
      <c r="G4" s="10" t="n">
        <f aca="false">IF(OR(D4="",E4=""),0,D4*E4/60)</f>
        <v>0</v>
      </c>
      <c r="H4" s="10" t="n">
        <f aca="false">IF(OR(D4="",E4="",Baseline!$B$6=""),0,F4-G4)</f>
        <v>0</v>
      </c>
      <c r="I4" s="6"/>
    </row>
    <row r="5" customFormat="false" ht="15" hidden="false" customHeight="false" outlineLevel="0" collapsed="false">
      <c r="A5" s="5" t="s">
        <v>52</v>
      </c>
      <c r="B5" s="9"/>
      <c r="C5" s="9"/>
      <c r="D5" s="7"/>
      <c r="E5" s="8"/>
      <c r="F5" s="10" t="n">
        <f aca="false">IF(OR(D5="",Baseline!$B$6=""),0,D5*Baseline!$B$6/60)</f>
        <v>0</v>
      </c>
      <c r="G5" s="10" t="n">
        <f aca="false">IF(OR(D5="",E5=""),0,D5*E5/60)</f>
        <v>0</v>
      </c>
      <c r="H5" s="10" t="n">
        <f aca="false">IF(OR(D5="",E5="",Baseline!$B$6=""),0,F5-G5)</f>
        <v>0</v>
      </c>
      <c r="I5" s="6"/>
    </row>
    <row r="6" customFormat="false" ht="15" hidden="false" customHeight="false" outlineLevel="0" collapsed="false">
      <c r="A6" s="5" t="s">
        <v>53</v>
      </c>
      <c r="B6" s="9"/>
      <c r="C6" s="9"/>
      <c r="D6" s="7"/>
      <c r="E6" s="8"/>
      <c r="F6" s="10" t="n">
        <f aca="false">IF(OR(D6="",Baseline!$B$6=""),0,D6*Baseline!$B$6/60)</f>
        <v>0</v>
      </c>
      <c r="G6" s="10" t="n">
        <f aca="false">IF(OR(D6="",E6=""),0,D6*E6/60)</f>
        <v>0</v>
      </c>
      <c r="H6" s="10" t="n">
        <f aca="false">IF(OR(D6="",E6="",Baseline!$B$6=""),0,F6-G6)</f>
        <v>0</v>
      </c>
      <c r="I6" s="6"/>
    </row>
    <row r="7" customFormat="false" ht="15" hidden="false" customHeight="false" outlineLevel="0" collapsed="false">
      <c r="A7" s="5" t="s">
        <v>54</v>
      </c>
      <c r="B7" s="9"/>
      <c r="C7" s="9"/>
      <c r="D7" s="7"/>
      <c r="E7" s="8"/>
      <c r="F7" s="10" t="n">
        <f aca="false">IF(OR(D7="",Baseline!$B$6=""),0,D7*Baseline!$B$6/60)</f>
        <v>0</v>
      </c>
      <c r="G7" s="10" t="n">
        <f aca="false">IF(OR(D7="",E7=""),0,D7*E7/60)</f>
        <v>0</v>
      </c>
      <c r="H7" s="10" t="n">
        <f aca="false">IF(OR(D7="",E7="",Baseline!$B$6=""),0,F7-G7)</f>
        <v>0</v>
      </c>
      <c r="I7" s="6"/>
    </row>
    <row r="8" customFormat="false" ht="15" hidden="false" customHeight="false" outlineLevel="0" collapsed="false">
      <c r="A8" s="5" t="s">
        <v>55</v>
      </c>
      <c r="D8" s="14" t="n">
        <f aca="false">SUM(D4:D7)</f>
        <v>0</v>
      </c>
      <c r="F8" s="15" t="n">
        <f aca="false">SUM(F4:F7)</f>
        <v>0</v>
      </c>
      <c r="G8" s="15" t="n">
        <f aca="false">SUM(G4:G7)</f>
        <v>0</v>
      </c>
      <c r="H8" s="15" t="n">
        <f aca="false">SUM(H4:H7)</f>
        <v>0</v>
      </c>
    </row>
    <row r="10" customFormat="false" ht="30" hidden="false" customHeight="true" outlineLevel="0" collapsed="false">
      <c r="A10" s="12" t="s">
        <v>56</v>
      </c>
      <c r="B10" s="12"/>
      <c r="C10" s="12"/>
      <c r="D10" s="12"/>
      <c r="E10" s="12"/>
      <c r="F10" s="12"/>
      <c r="G10" s="12"/>
      <c r="H10" s="12"/>
      <c r="I10" s="12"/>
    </row>
  </sheetData>
  <mergeCells count="1">
    <mergeCell ref="A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57</v>
      </c>
    </row>
    <row r="3" customFormat="false" ht="15" hidden="false" customHeight="false" outlineLevel="0" collapsed="false">
      <c r="A3" s="13" t="s">
        <v>58</v>
      </c>
      <c r="B3" s="13" t="s">
        <v>59</v>
      </c>
      <c r="C3" s="13" t="s">
        <v>60</v>
      </c>
    </row>
    <row r="4" customFormat="false" ht="15" hidden="false" customHeight="false" outlineLevel="0" collapsed="false">
      <c r="A4" s="5" t="s">
        <v>61</v>
      </c>
      <c r="B4" s="16"/>
      <c r="C4" s="6"/>
    </row>
    <row r="5" customFormat="false" ht="15" hidden="false" customHeight="false" outlineLevel="0" collapsed="false">
      <c r="A5" s="5" t="s">
        <v>62</v>
      </c>
      <c r="B5" s="16"/>
      <c r="C5" s="6"/>
    </row>
    <row r="6" customFormat="false" ht="15" hidden="false" customHeight="false" outlineLevel="0" collapsed="false">
      <c r="A6" s="5" t="s">
        <v>63</v>
      </c>
      <c r="B6" s="16"/>
      <c r="C6" s="6"/>
    </row>
    <row r="7" customFormat="false" ht="15" hidden="false" customHeight="false" outlineLevel="0" collapsed="false">
      <c r="A7" s="5" t="s">
        <v>64</v>
      </c>
      <c r="B7" s="16"/>
      <c r="C7" s="6"/>
    </row>
    <row r="8" customFormat="false" ht="15" hidden="false" customHeight="false" outlineLevel="0" collapsed="false">
      <c r="A8" s="5" t="s">
        <v>65</v>
      </c>
      <c r="B8" s="16"/>
      <c r="C8" s="6"/>
    </row>
    <row r="9" customFormat="false" ht="15" hidden="false" customHeight="false" outlineLevel="0" collapsed="false">
      <c r="A9" s="5" t="s">
        <v>66</v>
      </c>
      <c r="B9" s="16"/>
      <c r="C9" s="6"/>
    </row>
    <row r="10" customFormat="false" ht="15" hidden="false" customHeight="false" outlineLevel="0" collapsed="false">
      <c r="A10" s="5" t="s">
        <v>67</v>
      </c>
      <c r="B10" s="17" t="n">
        <f aca="false">SUM(B4:B9)</f>
        <v>0</v>
      </c>
    </row>
    <row r="12" customFormat="false" ht="30" hidden="false" customHeight="true" outlineLevel="0" collapsed="false">
      <c r="A12" s="12" t="s">
        <v>68</v>
      </c>
      <c r="B12" s="12"/>
      <c r="C12" s="12"/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6"/>
  </cols>
  <sheetData>
    <row r="1" customFormat="false" ht="17.35" hidden="false" customHeight="false" outlineLevel="0" collapsed="false">
      <c r="A1" s="1" t="s">
        <v>69</v>
      </c>
    </row>
    <row r="3" customFormat="false" ht="15" hidden="false" customHeight="false" outlineLevel="0" collapsed="false">
      <c r="A3" s="5" t="s">
        <v>70</v>
      </c>
      <c r="B3" s="16" t="n">
        <v>100</v>
      </c>
    </row>
    <row r="4" customFormat="false" ht="15" hidden="false" customHeight="false" outlineLevel="0" collapsed="false">
      <c r="A4" s="5" t="s">
        <v>71</v>
      </c>
      <c r="B4" s="10" t="n">
        <f aca="false">Medicao!H8</f>
        <v>0</v>
      </c>
    </row>
    <row r="5" customFormat="false" ht="15" hidden="false" customHeight="false" outlineLevel="0" collapsed="false">
      <c r="A5" s="5" t="s">
        <v>72</v>
      </c>
      <c r="B5" s="18" t="n">
        <f aca="false">B4*B3</f>
        <v>0</v>
      </c>
    </row>
    <row r="6" customFormat="false" ht="15" hidden="false" customHeight="false" outlineLevel="0" collapsed="false">
      <c r="A6" s="5" t="s">
        <v>73</v>
      </c>
      <c r="B6" s="16" t="n">
        <v>0</v>
      </c>
    </row>
    <row r="7" customFormat="false" ht="15" hidden="false" customHeight="false" outlineLevel="0" collapsed="false">
      <c r="A7" s="5" t="s">
        <v>74</v>
      </c>
      <c r="B7" s="18" t="n">
        <f aca="false">Custos!B10</f>
        <v>0</v>
      </c>
    </row>
    <row r="8" customFormat="false" ht="15" hidden="false" customHeight="false" outlineLevel="0" collapsed="false">
      <c r="A8" s="5" t="s">
        <v>75</v>
      </c>
      <c r="B8" s="17" t="n">
        <f aca="false">B5+B6-B7</f>
        <v>0</v>
      </c>
    </row>
    <row r="10" customFormat="false" ht="15" hidden="false" customHeight="false" outlineLevel="0" collapsed="false">
      <c r="A10" s="5" t="s">
        <v>76</v>
      </c>
      <c r="B10" s="11" t="str">
        <f aca="false">Baseline!B13</f>
        <v>NÃO: sem isso o (A) não é aceito</v>
      </c>
    </row>
    <row r="12" customFormat="false" ht="30" hidden="false" customHeight="true" outlineLevel="0" collapsed="false">
      <c r="A12" s="12" t="s">
        <v>77</v>
      </c>
      <c r="B12" s="12"/>
    </row>
  </sheetData>
  <mergeCells count="1"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" t="s">
        <v>78</v>
      </c>
    </row>
    <row r="3" customFormat="false" ht="15" hidden="false" customHeight="false" outlineLevel="0" collapsed="false">
      <c r="A3" s="13"/>
      <c r="B3" s="13" t="s">
        <v>79</v>
      </c>
      <c r="C3" s="13" t="s">
        <v>80</v>
      </c>
    </row>
    <row r="4" customFormat="false" ht="15" hidden="false" customHeight="false" outlineLevel="0" collapsed="false">
      <c r="A4" s="5" t="s">
        <v>81</v>
      </c>
      <c r="B4" s="19" t="n">
        <v>40</v>
      </c>
      <c r="C4" s="19" t="n">
        <v>5</v>
      </c>
    </row>
    <row r="5" customFormat="false" ht="15" hidden="false" customHeight="false" outlineLevel="0" collapsed="false">
      <c r="A5" s="5" t="s">
        <v>82</v>
      </c>
      <c r="B5" s="19" t="n">
        <v>3</v>
      </c>
      <c r="C5" s="19" t="n">
        <v>3</v>
      </c>
    </row>
    <row r="6" customFormat="false" ht="15" hidden="false" customHeight="false" outlineLevel="0" collapsed="false">
      <c r="A6" s="5" t="s">
        <v>83</v>
      </c>
      <c r="B6" s="20" t="n">
        <f aca="false">B4*B5/60</f>
        <v>2</v>
      </c>
      <c r="C6" s="20" t="n">
        <f aca="false">C4*C5/60</f>
        <v>0.25</v>
      </c>
    </row>
    <row r="7" customFormat="false" ht="15" hidden="false" customHeight="false" outlineLevel="0" collapsed="false">
      <c r="A7" s="5"/>
    </row>
    <row r="8" customFormat="false" ht="15" hidden="false" customHeight="false" outlineLevel="0" collapsed="false">
      <c r="A8" s="5" t="s">
        <v>84</v>
      </c>
      <c r="B8" s="20" t="n">
        <f aca="false">B6-C6</f>
        <v>1.75</v>
      </c>
    </row>
    <row r="9" customFormat="false" ht="15" hidden="false" customHeight="false" outlineLevel="0" collapsed="false">
      <c r="A9" s="5" t="s">
        <v>85</v>
      </c>
      <c r="B9" s="19" t="n">
        <v>4</v>
      </c>
    </row>
    <row r="10" customFormat="false" ht="15" hidden="false" customHeight="false" outlineLevel="0" collapsed="false">
      <c r="A10" s="5" t="s">
        <v>86</v>
      </c>
      <c r="B10" s="20" t="n">
        <f aca="false">B8*B9</f>
        <v>7</v>
      </c>
    </row>
    <row r="11" customFormat="false" ht="15" hidden="false" customHeight="false" outlineLevel="0" collapsed="false">
      <c r="A11" s="5" t="s">
        <v>87</v>
      </c>
      <c r="B11" s="21" t="n">
        <v>100</v>
      </c>
    </row>
    <row r="12" customFormat="false" ht="15" hidden="false" customHeight="false" outlineLevel="0" collapsed="false">
      <c r="A12" s="5" t="s">
        <v>72</v>
      </c>
      <c r="B12" s="22" t="n">
        <f aca="false">B10*B11</f>
        <v>700</v>
      </c>
    </row>
    <row r="13" customFormat="false" ht="15" hidden="false" customHeight="false" outlineLevel="0" collapsed="false">
      <c r="A13" s="5" t="s">
        <v>74</v>
      </c>
      <c r="B13" s="21" t="n">
        <v>40</v>
      </c>
    </row>
    <row r="14" customFormat="false" ht="15" hidden="false" customHeight="false" outlineLevel="0" collapsed="false">
      <c r="A14" s="23" t="s">
        <v>88</v>
      </c>
      <c r="B14" s="24" t="n">
        <f aca="false">B12-B13</f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2026-10-09T16:04:20Z</dcterms:created>
  <dc:creator>openpyxl</dc:creator>
  <dc:description/>
  <dc:language>en-US</dc:language>
  <cp:lastModifiedBy/>
  <dcterms:modified xsi:type="dcterms:W3CDTF">2026-10-09T16:04:20Z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